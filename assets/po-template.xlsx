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V:\المشتريات\نماذج الشراء\POs\"/>
    </mc:Choice>
  </mc:AlternateContent>
  <xr:revisionPtr revIDLastSave="0" documentId="13_ncr:1_{84D59DF8-8D3C-4534-98B1-AAE26666CACA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أمر شراء" sheetId="1" r:id="rId1"/>
  </sheets>
  <definedNames>
    <definedName name="_xlnm.Print_Area" localSheetId="0">'أمر شراء'!$A$1:$F$39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29" i="1"/>
  <c r="F28" i="1"/>
  <c r="F25" i="1"/>
  <c r="F26" i="1"/>
  <c r="F27" i="1"/>
  <c r="F24" i="1"/>
  <c r="F32" i="1" l="1"/>
  <c r="F33" i="1" s="1"/>
  <c r="F34" i="1" s="1"/>
</calcChain>
</file>

<file path=xl/sharedStrings.xml><?xml version="1.0" encoding="utf-8"?>
<sst xmlns="http://schemas.openxmlformats.org/spreadsheetml/2006/main" count="81" uniqueCount="67">
  <si>
    <t>أمر شراء (Purchase Order)</t>
  </si>
  <si>
    <t>رقم أمر الشراء</t>
  </si>
  <si>
    <t>تاريخ الإصدار</t>
  </si>
  <si>
    <t>المشروع / العقد</t>
  </si>
  <si>
    <t>مركز التكلفة</t>
  </si>
  <si>
    <t>مسؤول المشتريات</t>
  </si>
  <si>
    <t>طريقة الدفع</t>
  </si>
  <si>
    <t>بيانات العميل والمورد</t>
  </si>
  <si>
    <t>العميل</t>
  </si>
  <si>
    <t>المورد</t>
  </si>
  <si>
    <t>الاسم</t>
  </si>
  <si>
    <t>اسم المورد</t>
  </si>
  <si>
    <t>العنوان</t>
  </si>
  <si>
    <t>الهاتف</t>
  </si>
  <si>
    <t>بريد المشتريات</t>
  </si>
  <si>
    <t>البريد</t>
  </si>
  <si>
    <t>السجل التجاري</t>
  </si>
  <si>
    <t>الرقم الضريبي</t>
  </si>
  <si>
    <t>اسم جهة الاتصال</t>
  </si>
  <si>
    <t>الجوال</t>
  </si>
  <si>
    <t>تفاصيل الأصناف</t>
  </si>
  <si>
    <t>م</t>
  </si>
  <si>
    <t>الصنف</t>
  </si>
  <si>
    <t>الوحدة</t>
  </si>
  <si>
    <t>الكمية</t>
  </si>
  <si>
    <t>السعر الإفرادي</t>
  </si>
  <si>
    <t>السعر الإجمالي</t>
  </si>
  <si>
    <t>الإجمالي (قبل الضريبة)</t>
  </si>
  <si>
    <t>ضريبة القيمة المضافة (15%)</t>
  </si>
  <si>
    <t>الإجمالي شامل الضريبة</t>
  </si>
  <si>
    <t>اعتماد</t>
  </si>
  <si>
    <t>الوظيفة</t>
  </si>
  <si>
    <t xml:space="preserve">الجهة الطالبة </t>
  </si>
  <si>
    <t xml:space="preserve">مدة التسليم </t>
  </si>
  <si>
    <t>موقع التسليم</t>
  </si>
  <si>
    <t>عبدالله الذيابي</t>
  </si>
  <si>
    <t>0563897666</t>
  </si>
  <si>
    <t>abdullah@aldeyabi.com</t>
  </si>
  <si>
    <t>التوقيع/التاريخ</t>
  </si>
  <si>
    <t>الرياض طريق الملك عبد العزيز، حي المروج</t>
  </si>
  <si>
    <t>_____</t>
  </si>
  <si>
    <t xml:space="preserve">الدفعة المستحقة شامل الضريبة </t>
  </si>
  <si>
    <t>الدفعة المستحقة قبل الضريبة (50%)</t>
  </si>
  <si>
    <t>الرياض</t>
  </si>
  <si>
    <t>مرجع عرض السعر</t>
  </si>
  <si>
    <t>مجموعة الذيابي للمقاولات</t>
  </si>
  <si>
    <t xml:space="preserve">عبدالله ماجد الذيابي </t>
  </si>
  <si>
    <t>مدير إدارة سلاسل الامداد</t>
  </si>
  <si>
    <t>قطاع الصيانة والتشغيل</t>
  </si>
  <si>
    <t>2 يوم</t>
  </si>
  <si>
    <t>كرتون</t>
  </si>
  <si>
    <t>2026-09-16</t>
  </si>
  <si>
    <t>P.O-DG26-3221</t>
  </si>
  <si>
    <t>المركز الوطني لقياس الأداء</t>
  </si>
  <si>
    <t>اجل ( 45 يوم )</t>
  </si>
  <si>
    <t>مصطفى خليل احمد</t>
  </si>
  <si>
    <t>شركة الاعمال الذهبية التجارية</t>
  </si>
  <si>
    <t>ـــــــــــــ</t>
  </si>
  <si>
    <t>310298126400003</t>
  </si>
  <si>
    <t>علي الزينى</t>
  </si>
  <si>
    <t>0554772274</t>
  </si>
  <si>
    <t>مطهر ديتول ( 1 لتر الأصلي )</t>
  </si>
  <si>
    <t>ممسحة رطبة ( موب باكستاني )</t>
  </si>
  <si>
    <t>حبه</t>
  </si>
  <si>
    <t>معطر جو ( كوتاج )</t>
  </si>
  <si>
    <t xml:space="preserve">فرشاه سجاد </t>
  </si>
  <si>
    <t>فقط الف ومائتان واثنان وخمسون ريال وخمسة وثلاثون هلله  لاغير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</si>
</sst>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Neo Sans Arabic"/>
      <family val="2"/>
    </font>
    <font>
      <b/>
      <sz val="11"/>
      <name val="Neo Sans Arabic"/>
      <family val="2"/>
    </font>
    <font>
      <b/>
      <sz val="16"/>
      <name val="Neo Sans Arabic"/>
      <family val="2"/>
    </font>
    <font>
      <b/>
      <sz val="10"/>
      <name val="Neo Sans Arabic"/>
      <family val="2"/>
    </font>
    <font>
      <b/>
      <sz val="11"/>
      <color theme="1"/>
      <name val="Neo Sans Arabic"/>
      <family val="2"/>
    </font>
    <font>
      <b/>
      <sz val="9"/>
      <name val="Neo Sans Arabic"/>
      <family val="2"/>
    </font>
    <font>
      <b/>
      <sz val="11"/>
      <color theme="1"/>
      <name val="Neo Sans Arabic"/>
      <family val="2"/>
    </font>
    <font>
      <b/>
      <sz val="11"/>
      <name val="Neo Sans Arabic"/>
      <family val="2"/>
    </font>
    <font>
      <sz val="10"/>
      <color theme="1"/>
      <name val="Neo Sans Arabic"/>
      <family val="2"/>
    </font>
    <font>
      <b/>
      <sz val="12"/>
      <color theme="1"/>
      <name val="Calibri"/>
      <family val="2"/>
      <scheme val="minor"/>
    </font>
    <font>
      <sz val="12"/>
      <color theme="1"/>
      <name val="Neo Sans Arabic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4" fontId="1" fillId="0" borderId="6" xfId="0" applyNumberFormat="1" applyFont="1" applyBorder="1" applyAlignment="1">
      <alignment horizontal="center" vertical="center" wrapText="1"/>
    </xf>
    <xf numFmtId="4" fontId="0" fillId="0" borderId="0" xfId="0" applyNumberFormat="1"/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3" xfId="0" applyFont="1" applyBorder="1"/>
    <xf numFmtId="0" fontId="9" fillId="0" borderId="0" xfId="0" applyFont="1"/>
    <xf numFmtId="0" fontId="9" fillId="0" borderId="4" xfId="0" applyFont="1" applyBorder="1"/>
    <xf numFmtId="0" fontId="10" fillId="2" borderId="11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4" fontId="14" fillId="0" borderId="7" xfId="0" applyNumberFormat="1" applyFont="1" applyBorder="1" applyAlignment="1">
      <alignment horizontal="center" vertical="center" wrapText="1"/>
    </xf>
    <xf numFmtId="4" fontId="14" fillId="0" borderId="6" xfId="0" applyNumberFormat="1" applyFont="1" applyBorder="1" applyAlignment="1">
      <alignment horizontal="center" vertical="center" wrapText="1"/>
    </xf>
    <xf numFmtId="4" fontId="14" fillId="0" borderId="3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9" fillId="3" borderId="6" xfId="0" applyFont="1" applyFill="1" applyBorder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5" fillId="4" borderId="8" xfId="0" applyFont="1" applyFill="1" applyBorder="1" applyAlignment="1">
      <alignment horizontal="right" vertical="center" wrapText="1"/>
    </xf>
    <xf numFmtId="0" fontId="14" fillId="4" borderId="2" xfId="0" applyFont="1" applyFill="1" applyBorder="1"/>
    <xf numFmtId="0" fontId="3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 readingOrder="1"/>
    </xf>
    <xf numFmtId="49" fontId="3" fillId="0" borderId="6" xfId="0" applyNumberFormat="1" applyFont="1" applyBorder="1" applyAlignment="1">
      <alignment horizontal="center" readingOrder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6" xfId="0" applyFont="1" applyBorder="1"/>
    <xf numFmtId="49" fontId="11" fillId="0" borderId="1" xfId="0" applyNumberFormat="1" applyFont="1" applyBorder="1" applyAlignment="1">
      <alignment horizontal="center" vertical="center" wrapText="1" readingOrder="2"/>
    </xf>
    <xf numFmtId="49" fontId="11" fillId="0" borderId="1" xfId="0" applyNumberFormat="1" applyFont="1" applyBorder="1" applyAlignment="1">
      <alignment horizontal="center" readingOrder="2"/>
    </xf>
    <xf numFmtId="0" fontId="15" fillId="4" borderId="5" xfId="0" applyFont="1" applyFill="1" applyBorder="1" applyAlignment="1">
      <alignment horizontal="right" vertical="center" wrapText="1"/>
    </xf>
    <xf numFmtId="0" fontId="14" fillId="4" borderId="1" xfId="0" applyFont="1" applyFill="1" applyBorder="1"/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/>
    <xf numFmtId="0" fontId="3" fillId="3" borderId="32" xfId="0" applyFont="1" applyFill="1" applyBorder="1"/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right" vertical="center" wrapText="1"/>
    </xf>
    <xf numFmtId="0" fontId="2" fillId="4" borderId="26" xfId="0" applyFont="1" applyFill="1" applyBorder="1" applyAlignment="1">
      <alignment horizontal="right" vertical="center" wrapText="1"/>
    </xf>
    <xf numFmtId="0" fontId="2" fillId="4" borderId="12" xfId="0" applyFont="1" applyFill="1" applyBorder="1" applyAlignment="1">
      <alignment horizontal="right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right" vertical="center" wrapText="1"/>
    </xf>
    <xf numFmtId="0" fontId="14" fillId="4" borderId="10" xfId="0" applyFont="1" applyFill="1" applyBorder="1"/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6" xfId="0" applyBorder="1"/>
    <xf numFmtId="0" fontId="7" fillId="6" borderId="15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right" vertical="center" wrapText="1"/>
    </xf>
    <xf numFmtId="0" fontId="0" fillId="4" borderId="1" xfId="0" applyFill="1" applyBorder="1"/>
    <xf numFmtId="49" fontId="3" fillId="0" borderId="6" xfId="0" applyNumberFormat="1" applyFont="1" applyBorder="1" applyAlignment="1">
      <alignment horizontal="center"/>
    </xf>
    <xf numFmtId="0" fontId="12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dullah@aldeyab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rightToLeft="1" tabSelected="1" view="pageBreakPreview" zoomScaleNormal="100" zoomScaleSheetLayoutView="100" workbookViewId="0">
      <selection activeCell="B8" sqref="B8:C8"/>
    </sheetView>
  </sheetViews>
  <sheetFormatPr defaultRowHeight="15" x14ac:dyDescent="0.25"/>
  <cols>
    <col min="1" max="1" width="15.42578125" customWidth="1"/>
    <col min="2" max="2" width="45.7109375" customWidth="1"/>
    <col min="3" max="3" width="8" customWidth="1"/>
    <col min="4" max="4" width="14.5703125" customWidth="1"/>
    <col min="5" max="5" width="11.42578125" customWidth="1"/>
    <col min="6" max="6" width="19.140625" bestFit="1" customWidth="1"/>
  </cols>
  <sheetData>
    <row r="1" spans="1:6" ht="22.5" customHeight="1" thickBot="1" x14ac:dyDescent="0.3"/>
    <row r="2" spans="1:6" ht="21" customHeight="1" x14ac:dyDescent="0.25">
      <c r="A2" s="19" t="s">
        <v>0</v>
      </c>
      <c r="B2" s="20"/>
      <c r="C2" s="20"/>
      <c r="D2" s="20"/>
      <c r="E2" s="20"/>
      <c r="F2" s="21"/>
    </row>
    <row r="3" spans="1:6" ht="33" customHeight="1" x14ac:dyDescent="0.25">
      <c r="A3" s="22"/>
      <c r="B3" s="23"/>
      <c r="C3" s="23"/>
      <c r="D3" s="23"/>
      <c r="E3" s="23"/>
      <c r="F3" s="24"/>
    </row>
    <row r="4" spans="1:6" ht="24.95" customHeight="1" x14ac:dyDescent="0.25">
      <c r="A4" s="3" t="s">
        <v>1</v>
      </c>
      <c r="B4" s="36" t="s">
        <v>52</v>
      </c>
      <c r="C4" s="37"/>
      <c r="D4" s="4" t="s">
        <v>2</v>
      </c>
      <c r="E4" s="43" t="s">
        <v>51</v>
      </c>
      <c r="F4" s="44"/>
    </row>
    <row r="5" spans="1:6" ht="24.95" customHeight="1" x14ac:dyDescent="0.25">
      <c r="A5" s="3" t="s">
        <v>44</v>
      </c>
      <c r="B5" s="36" t="s">
        <v>40</v>
      </c>
      <c r="C5" s="37"/>
      <c r="D5" s="4" t="s">
        <v>3</v>
      </c>
      <c r="E5" s="27" t="s">
        <v>53</v>
      </c>
      <c r="F5" s="28"/>
    </row>
    <row r="6" spans="1:6" ht="24.95" customHeight="1" x14ac:dyDescent="0.25">
      <c r="A6" s="3" t="s">
        <v>32</v>
      </c>
      <c r="B6" s="36" t="s">
        <v>48</v>
      </c>
      <c r="C6" s="37"/>
      <c r="D6" s="4" t="s">
        <v>4</v>
      </c>
      <c r="E6" s="27" t="s">
        <v>53</v>
      </c>
      <c r="F6" s="28"/>
    </row>
    <row r="7" spans="1:6" ht="24.95" customHeight="1" x14ac:dyDescent="0.25">
      <c r="A7" s="3" t="s">
        <v>5</v>
      </c>
      <c r="B7" s="36" t="s">
        <v>55</v>
      </c>
      <c r="C7" s="37"/>
      <c r="D7" s="4" t="s">
        <v>6</v>
      </c>
      <c r="E7" s="27" t="s">
        <v>54</v>
      </c>
      <c r="F7" s="28"/>
    </row>
    <row r="8" spans="1:6" ht="24.95" customHeight="1" x14ac:dyDescent="0.25">
      <c r="A8" s="3" t="s">
        <v>33</v>
      </c>
      <c r="B8" s="48" t="s">
        <v>49</v>
      </c>
      <c r="C8" s="49"/>
      <c r="D8" s="4" t="s">
        <v>34</v>
      </c>
      <c r="E8" s="27" t="s">
        <v>53</v>
      </c>
      <c r="F8" s="28"/>
    </row>
    <row r="9" spans="1:6" ht="18" customHeight="1" x14ac:dyDescent="0.25">
      <c r="A9" s="5"/>
      <c r="B9" s="6"/>
      <c r="C9" s="6"/>
      <c r="D9" s="6"/>
      <c r="E9" s="6"/>
      <c r="F9" s="7"/>
    </row>
    <row r="10" spans="1:6" ht="30" customHeight="1" x14ac:dyDescent="0.25">
      <c r="A10" s="29" t="s">
        <v>7</v>
      </c>
      <c r="B10" s="30"/>
      <c r="C10" s="30"/>
      <c r="D10" s="30"/>
      <c r="E10" s="30"/>
      <c r="F10" s="31"/>
    </row>
    <row r="11" spans="1:6" x14ac:dyDescent="0.25">
      <c r="A11" s="8"/>
      <c r="B11" s="52" t="s">
        <v>8</v>
      </c>
      <c r="C11" s="53"/>
      <c r="D11" s="45" t="s">
        <v>9</v>
      </c>
      <c r="E11" s="46"/>
      <c r="F11" s="47"/>
    </row>
    <row r="12" spans="1:6" ht="20.100000000000001" customHeight="1" x14ac:dyDescent="0.25">
      <c r="A12" s="3" t="s">
        <v>10</v>
      </c>
      <c r="B12" s="27" t="s">
        <v>45</v>
      </c>
      <c r="C12" s="40"/>
      <c r="D12" s="4" t="s">
        <v>11</v>
      </c>
      <c r="E12" s="27" t="s">
        <v>56</v>
      </c>
      <c r="F12" s="28"/>
    </row>
    <row r="13" spans="1:6" ht="20.100000000000001" customHeight="1" x14ac:dyDescent="0.25">
      <c r="A13" s="3" t="s">
        <v>12</v>
      </c>
      <c r="B13" s="36" t="s">
        <v>39</v>
      </c>
      <c r="C13" s="37"/>
      <c r="D13" s="4" t="s">
        <v>12</v>
      </c>
      <c r="E13" s="27" t="s">
        <v>43</v>
      </c>
      <c r="F13" s="28"/>
    </row>
    <row r="14" spans="1:6" ht="20.100000000000001" customHeight="1" x14ac:dyDescent="0.25">
      <c r="A14" s="3" t="s">
        <v>13</v>
      </c>
      <c r="B14" s="27">
        <v>920000194</v>
      </c>
      <c r="C14" s="40"/>
      <c r="D14" s="4" t="s">
        <v>13</v>
      </c>
      <c r="E14" s="32" t="s">
        <v>57</v>
      </c>
      <c r="F14" s="84"/>
    </row>
    <row r="15" spans="1:6" ht="20.100000000000001" customHeight="1" x14ac:dyDescent="0.25">
      <c r="A15" s="3" t="s">
        <v>14</v>
      </c>
      <c r="B15" s="27" t="s">
        <v>37</v>
      </c>
      <c r="C15" s="40"/>
      <c r="D15" s="4" t="s">
        <v>15</v>
      </c>
      <c r="E15" s="32" t="s">
        <v>40</v>
      </c>
      <c r="F15" s="84"/>
    </row>
    <row r="16" spans="1:6" ht="20.100000000000001" customHeight="1" x14ac:dyDescent="0.25">
      <c r="A16" s="3" t="s">
        <v>16</v>
      </c>
      <c r="B16" s="27">
        <v>7001929160</v>
      </c>
      <c r="C16" s="40"/>
      <c r="D16" s="4" t="s">
        <v>16</v>
      </c>
      <c r="E16" s="32" t="s">
        <v>40</v>
      </c>
      <c r="F16" s="84"/>
    </row>
    <row r="17" spans="1:11" ht="20.100000000000001" customHeight="1" x14ac:dyDescent="0.25">
      <c r="A17" s="3" t="s">
        <v>17</v>
      </c>
      <c r="B17" s="63">
        <v>311486953200003</v>
      </c>
      <c r="C17" s="64"/>
      <c r="D17" s="4" t="s">
        <v>17</v>
      </c>
      <c r="E17" s="32" t="s">
        <v>58</v>
      </c>
      <c r="F17" s="84"/>
    </row>
    <row r="18" spans="1:11" ht="20.100000000000001" customHeight="1" x14ac:dyDescent="0.25">
      <c r="A18" s="3" t="s">
        <v>18</v>
      </c>
      <c r="B18" s="27" t="s">
        <v>35</v>
      </c>
      <c r="C18" s="40"/>
      <c r="D18" s="4" t="s">
        <v>18</v>
      </c>
      <c r="E18" s="27" t="s">
        <v>59</v>
      </c>
      <c r="F18" s="28"/>
    </row>
    <row r="19" spans="1:11" ht="20.100000000000001" customHeight="1" x14ac:dyDescent="0.25">
      <c r="A19" s="3" t="s">
        <v>19</v>
      </c>
      <c r="B19" s="32" t="s">
        <v>36</v>
      </c>
      <c r="C19" s="33"/>
      <c r="D19" s="4" t="s">
        <v>19</v>
      </c>
      <c r="E19" s="32" t="s">
        <v>60</v>
      </c>
      <c r="F19" s="84"/>
    </row>
    <row r="20" spans="1:11" ht="1.5" customHeight="1" x14ac:dyDescent="0.25">
      <c r="A20" s="54"/>
      <c r="B20" s="55"/>
      <c r="C20" s="55"/>
      <c r="D20" s="55"/>
      <c r="E20" s="55"/>
      <c r="F20" s="56"/>
    </row>
    <row r="21" spans="1:11" ht="14.25" customHeight="1" thickBot="1" x14ac:dyDescent="0.3">
      <c r="A21" s="57"/>
      <c r="B21" s="58"/>
      <c r="C21" s="58"/>
      <c r="D21" s="58"/>
      <c r="E21" s="58"/>
      <c r="F21" s="59"/>
    </row>
    <row r="22" spans="1:11" ht="30" customHeight="1" x14ac:dyDescent="0.25">
      <c r="A22" s="60" t="s">
        <v>20</v>
      </c>
      <c r="B22" s="61"/>
      <c r="C22" s="61"/>
      <c r="D22" s="61"/>
      <c r="E22" s="61"/>
      <c r="F22" s="62"/>
    </row>
    <row r="23" spans="1:11" ht="30" customHeight="1" thickBot="1" x14ac:dyDescent="0.3">
      <c r="A23" s="9" t="s">
        <v>21</v>
      </c>
      <c r="B23" s="10" t="s">
        <v>22</v>
      </c>
      <c r="C23" s="10" t="s">
        <v>23</v>
      </c>
      <c r="D23" s="10" t="s">
        <v>24</v>
      </c>
      <c r="E23" s="11" t="s">
        <v>25</v>
      </c>
      <c r="F23" s="12" t="s">
        <v>26</v>
      </c>
    </row>
    <row r="24" spans="1:11" ht="46.5" customHeight="1" x14ac:dyDescent="0.25">
      <c r="A24" s="85">
        <v>1</v>
      </c>
      <c r="B24" s="86" t="s">
        <v>61</v>
      </c>
      <c r="C24" s="87" t="s">
        <v>50</v>
      </c>
      <c r="D24" s="88">
        <v>1</v>
      </c>
      <c r="E24" s="88">
        <v>250</v>
      </c>
      <c r="F24" s="89">
        <f>E24*D24</f>
        <v>250</v>
      </c>
    </row>
    <row r="25" spans="1:11" ht="46.5" customHeight="1" x14ac:dyDescent="0.25">
      <c r="A25" s="90">
        <v>2</v>
      </c>
      <c r="B25" s="91" t="s">
        <v>62</v>
      </c>
      <c r="C25" s="92" t="s">
        <v>63</v>
      </c>
      <c r="D25" s="16">
        <v>15</v>
      </c>
      <c r="E25" s="16">
        <v>17</v>
      </c>
      <c r="F25" s="93">
        <f t="shared" ref="F25:F27" si="0">E25*D25</f>
        <v>255</v>
      </c>
    </row>
    <row r="26" spans="1:11" ht="46.5" customHeight="1" x14ac:dyDescent="0.25">
      <c r="A26" s="90">
        <v>3</v>
      </c>
      <c r="B26" s="91" t="s">
        <v>64</v>
      </c>
      <c r="C26" s="92" t="s">
        <v>50</v>
      </c>
      <c r="D26" s="16">
        <v>3</v>
      </c>
      <c r="E26" s="16">
        <v>190</v>
      </c>
      <c r="F26" s="93">
        <f t="shared" si="0"/>
        <v>570</v>
      </c>
    </row>
    <row r="27" spans="1:11" ht="46.5" customHeight="1" x14ac:dyDescent="0.25">
      <c r="A27" s="90">
        <v>4</v>
      </c>
      <c r="B27" s="91" t="s">
        <v>65</v>
      </c>
      <c r="C27" s="92" t="s">
        <v>63</v>
      </c>
      <c r="D27" s="16">
        <v>4</v>
      </c>
      <c r="E27" s="16">
        <v>3.5</v>
      </c>
      <c r="F27" s="93">
        <f t="shared" si="0"/>
        <v>14</v>
      </c>
    </row>
    <row r="28" spans="1:11" ht="21" customHeight="1" x14ac:dyDescent="0.3">
      <c r="A28" s="38" t="s">
        <v>27</v>
      </c>
      <c r="B28" s="39"/>
      <c r="C28" s="39"/>
      <c r="D28" s="39"/>
      <c r="E28" s="39"/>
      <c r="F28" s="13">
        <f>SUM(F24:F27)</f>
        <v>1089</v>
      </c>
      <c r="H28" s="2"/>
    </row>
    <row r="29" spans="1:11" ht="18" customHeight="1" x14ac:dyDescent="0.3">
      <c r="A29" s="50" t="s">
        <v>28</v>
      </c>
      <c r="B29" s="51"/>
      <c r="C29" s="51"/>
      <c r="D29" s="51"/>
      <c r="E29" s="51"/>
      <c r="F29" s="14">
        <f>F28*0.15</f>
        <v>163.35</v>
      </c>
      <c r="I29" s="2"/>
      <c r="K29" s="2"/>
    </row>
    <row r="30" spans="1:11" ht="21" customHeight="1" thickBot="1" x14ac:dyDescent="0.35">
      <c r="A30" s="71" t="s">
        <v>29</v>
      </c>
      <c r="B30" s="72"/>
      <c r="C30" s="72"/>
      <c r="D30" s="72"/>
      <c r="E30" s="72"/>
      <c r="F30" s="15">
        <f>F28+F29</f>
        <v>1252.3499999999999</v>
      </c>
    </row>
    <row r="31" spans="1:11" ht="10.5" hidden="1" customHeight="1" x14ac:dyDescent="0.25">
      <c r="A31" s="68"/>
      <c r="B31" s="69"/>
      <c r="C31" s="69"/>
      <c r="D31" s="69"/>
      <c r="E31" s="69"/>
      <c r="F31" s="70"/>
    </row>
    <row r="32" spans="1:11" ht="18.75" hidden="1" customHeight="1" x14ac:dyDescent="0.25">
      <c r="A32" s="65" t="s">
        <v>42</v>
      </c>
      <c r="B32" s="66"/>
      <c r="C32" s="66"/>
      <c r="D32" s="66"/>
      <c r="E32" s="67"/>
      <c r="F32" s="1">
        <f>F28*0.5</f>
        <v>544.5</v>
      </c>
    </row>
    <row r="33" spans="1:9" ht="18.75" hidden="1" customHeight="1" x14ac:dyDescent="0.25">
      <c r="A33" s="82" t="s">
        <v>28</v>
      </c>
      <c r="B33" s="83"/>
      <c r="C33" s="83"/>
      <c r="D33" s="83"/>
      <c r="E33" s="83"/>
      <c r="F33" s="1">
        <f>F32*0.15</f>
        <v>81.674999999999997</v>
      </c>
    </row>
    <row r="34" spans="1:9" ht="18.75" hidden="1" customHeight="1" x14ac:dyDescent="0.25">
      <c r="A34" s="65" t="s">
        <v>41</v>
      </c>
      <c r="B34" s="66"/>
      <c r="C34" s="66"/>
      <c r="D34" s="66"/>
      <c r="E34" s="66"/>
      <c r="F34" s="1">
        <f>F32+F33</f>
        <v>626.17499999999995</v>
      </c>
    </row>
    <row r="35" spans="1:9" ht="15" customHeight="1" x14ac:dyDescent="0.25">
      <c r="A35" s="76" t="s">
        <v>66</v>
      </c>
      <c r="B35" s="77"/>
      <c r="C35" s="77"/>
      <c r="D35" s="77"/>
      <c r="E35" s="77"/>
      <c r="F35" s="78"/>
      <c r="I35" s="2"/>
    </row>
    <row r="36" spans="1:9" ht="11.25" customHeight="1" x14ac:dyDescent="0.25">
      <c r="A36" s="79"/>
      <c r="B36" s="80"/>
      <c r="C36" s="80"/>
      <c r="D36" s="80"/>
      <c r="E36" s="80"/>
      <c r="F36" s="81"/>
    </row>
    <row r="37" spans="1:9" x14ac:dyDescent="0.25">
      <c r="A37" s="34" t="s">
        <v>30</v>
      </c>
      <c r="B37" s="35"/>
      <c r="C37" s="35"/>
      <c r="D37" s="35"/>
      <c r="E37" s="35"/>
      <c r="F37" s="75"/>
    </row>
    <row r="38" spans="1:9" x14ac:dyDescent="0.25">
      <c r="A38" s="34" t="s">
        <v>10</v>
      </c>
      <c r="B38" s="35"/>
      <c r="C38" s="42" t="s">
        <v>31</v>
      </c>
      <c r="D38" s="35"/>
      <c r="E38" s="73" t="s">
        <v>38</v>
      </c>
      <c r="F38" s="74"/>
    </row>
    <row r="39" spans="1:9" ht="38.25" customHeight="1" thickBot="1" x14ac:dyDescent="0.3">
      <c r="A39" s="41" t="s">
        <v>46</v>
      </c>
      <c r="B39" s="26"/>
      <c r="C39" s="25" t="s">
        <v>47</v>
      </c>
      <c r="D39" s="26"/>
      <c r="E39" s="17"/>
      <c r="F39" s="18"/>
    </row>
  </sheetData>
  <mergeCells count="47">
    <mergeCell ref="A32:E32"/>
    <mergeCell ref="A31:F31"/>
    <mergeCell ref="A34:E34"/>
    <mergeCell ref="A30:E30"/>
    <mergeCell ref="E38:F38"/>
    <mergeCell ref="A37:F37"/>
    <mergeCell ref="A35:F36"/>
    <mergeCell ref="A33:E33"/>
    <mergeCell ref="A29:E29"/>
    <mergeCell ref="B18:C18"/>
    <mergeCell ref="E17:F17"/>
    <mergeCell ref="B11:C11"/>
    <mergeCell ref="A20:F21"/>
    <mergeCell ref="B12:C12"/>
    <mergeCell ref="A22:F22"/>
    <mergeCell ref="E18:F18"/>
    <mergeCell ref="E19:F19"/>
    <mergeCell ref="B17:C17"/>
    <mergeCell ref="B16:C16"/>
    <mergeCell ref="B5:C5"/>
    <mergeCell ref="B4:C4"/>
    <mergeCell ref="E5:F5"/>
    <mergeCell ref="E14:F14"/>
    <mergeCell ref="B7:C7"/>
    <mergeCell ref="E8:F8"/>
    <mergeCell ref="E12:F12"/>
    <mergeCell ref="D11:F11"/>
    <mergeCell ref="B14:C14"/>
    <mergeCell ref="E13:F13"/>
    <mergeCell ref="B8:C8"/>
    <mergeCell ref="B13:C13"/>
    <mergeCell ref="E39:F39"/>
    <mergeCell ref="A2:F3"/>
    <mergeCell ref="C39:D39"/>
    <mergeCell ref="E6:F6"/>
    <mergeCell ref="A10:F10"/>
    <mergeCell ref="E15:F15"/>
    <mergeCell ref="B19:C19"/>
    <mergeCell ref="A38:B38"/>
    <mergeCell ref="B6:C6"/>
    <mergeCell ref="A28:E28"/>
    <mergeCell ref="B15:C15"/>
    <mergeCell ref="E16:F16"/>
    <mergeCell ref="E7:F7"/>
    <mergeCell ref="A39:B39"/>
    <mergeCell ref="C38:D38"/>
    <mergeCell ref="E4:F4"/>
  </mergeCells>
  <dataValidations count="1">
    <dataValidation type="decimal" operator="greaterThanOrEqual" allowBlank="1" sqref="D24:D27" xr:uid="{00000000-0002-0000-0000-000000000000}">
      <formula1>0</formula1>
    </dataValidation>
  </dataValidations>
  <hyperlinks>
    <hyperlink ref="B15" r:id="rId1" xr:uid="{00000000-0004-0000-0000-000000000000}"/>
  </hyperlinks>
  <printOptions horizontalCentered="1" verticalCentered="1"/>
  <pageMargins left="0" right="0" top="0.19685039370078741" bottom="0.59055118110236227" header="0" footer="0"/>
  <pageSetup paperSize="9" scale="82" fitToHeight="0" orientation="portrait" r:id="rId2"/>
  <headerFooter>
    <oddHeader>&amp;C&amp;9&amp;G</oddHead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أمر شراء</vt:lpstr>
      <vt:lpstr>'أمر شراء'!Print_Area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Operation Maintenance</cp:lastModifiedBy>
  <cp:lastPrinted>2026-09-16T12:59:56Z</cp:lastPrinted>
  <dcterms:created xsi:type="dcterms:W3CDTF">2026-01-07T07:00:54Z</dcterms:created>
  <dcterms:modified xsi:type="dcterms:W3CDTF">2026-09-16T13:01:09Z</dcterms:modified>
</cp:coreProperties>
</file>